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\OneDrive - Durham University\0_mds_research_project_mary_tomblin\final_dissertation_documents\"/>
    </mc:Choice>
  </mc:AlternateContent>
  <xr:revisionPtr revIDLastSave="0" documentId="13_ncr:1_{6D581F21-D09E-4325-A8AC-9D771B2EF6EA}" xr6:coauthVersionLast="47" xr6:coauthVersionMax="47" xr10:uidLastSave="{00000000-0000-0000-0000-000000000000}"/>
  <bookViews>
    <workbookView xWindow="11424" yWindow="0" windowWidth="11712" windowHeight="12336" firstSheet="2" activeTab="2" xr2:uid="{4F4700B7-0DDB-43AE-9153-3B45ED29FF4E}"/>
  </bookViews>
  <sheets>
    <sheet name="Sheet1" sheetId="4" r:id="rId1"/>
    <sheet name="all_seasons" sheetId="1" r:id="rId2"/>
    <sheet name="main_single_seas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E10" i="2"/>
  <c r="E11" i="2"/>
  <c r="E12" i="2"/>
  <c r="E9" i="2"/>
  <c r="D12" i="2"/>
  <c r="D11" i="2"/>
  <c r="D10" i="2"/>
  <c r="D9" i="2"/>
  <c r="C13" i="2"/>
  <c r="C10" i="2"/>
  <c r="C11" i="2"/>
  <c r="C12" i="2"/>
  <c r="C9" i="2"/>
  <c r="E6" i="2"/>
  <c r="E3" i="2"/>
  <c r="E4" i="2"/>
  <c r="E5" i="2"/>
  <c r="E2" i="2"/>
  <c r="D5" i="2"/>
  <c r="D4" i="2"/>
  <c r="D3" i="2"/>
  <c r="D2" i="2"/>
  <c r="C6" i="2"/>
  <c r="C3" i="2"/>
  <c r="C4" i="2"/>
  <c r="C5" i="2"/>
  <c r="C2" i="2"/>
  <c r="C10" i="1"/>
  <c r="C11" i="1"/>
  <c r="C12" i="1"/>
  <c r="C9" i="1"/>
  <c r="C3" i="1"/>
  <c r="C4" i="1"/>
  <c r="C5" i="1"/>
  <c r="C2" i="1"/>
  <c r="C13" i="1" l="1"/>
  <c r="D9" i="1" s="1"/>
  <c r="E9" i="1" s="1"/>
  <c r="C6" i="1"/>
  <c r="D2" i="1" s="1"/>
  <c r="E2" i="1" s="1"/>
  <c r="D10" i="1" l="1"/>
  <c r="E10" i="1" s="1"/>
  <c r="E13" i="1" s="1"/>
  <c r="D11" i="1"/>
  <c r="E11" i="1" s="1"/>
  <c r="D12" i="1"/>
  <c r="E12" i="1" s="1"/>
  <c r="D3" i="1"/>
  <c r="E3" i="1" s="1"/>
  <c r="E6" i="1" s="1"/>
  <c r="D4" i="1"/>
  <c r="E4" i="1" s="1"/>
  <c r="D5" i="1"/>
  <c r="E5" i="1" s="1"/>
</calcChain>
</file>

<file path=xl/sharedStrings.xml><?xml version="1.0" encoding="utf-8"?>
<sst xmlns="http://schemas.openxmlformats.org/spreadsheetml/2006/main" count="106" uniqueCount="27">
  <si>
    <t>Quali</t>
  </si>
  <si>
    <t>Driver</t>
  </si>
  <si>
    <t>Constructor</t>
  </si>
  <si>
    <t>Round</t>
  </si>
  <si>
    <t>Residual Noise (Sigma)</t>
  </si>
  <si>
    <t>Race</t>
  </si>
  <si>
    <t>mean</t>
  </si>
  <si>
    <t>sd</t>
  </si>
  <si>
    <t>hdi_3%</t>
  </si>
  <si>
    <t>hdi_97%</t>
  </si>
  <si>
    <t>mcse_mean</t>
  </si>
  <si>
    <t>mcse_sd</t>
  </si>
  <si>
    <t>ess_bulk</t>
  </si>
  <si>
    <t>ess_tail</t>
  </si>
  <si>
    <t>r_hat</t>
  </si>
  <si>
    <t>season</t>
  </si>
  <si>
    <t>driver</t>
  </si>
  <si>
    <t>7e-05</t>
  </si>
  <si>
    <t>4e-05</t>
  </si>
  <si>
    <t>3e-05</t>
  </si>
  <si>
    <t>constructor</t>
  </si>
  <si>
    <t>round</t>
  </si>
  <si>
    <t>2e-05</t>
  </si>
  <si>
    <t>1e-05</t>
  </si>
  <si>
    <t>sigma</t>
  </si>
  <si>
    <t>5e-05</t>
  </si>
  <si>
    <t>9e-05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</si>
</sst>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A31A-6CE9-4E25-ABDC-73F072B0075C}">
  <dimension ref="A1:K33"/>
  <sheetViews>
    <sheetView zoomScale="78" workbookViewId="0">
      <selection activeCell="M11" sqref="M11"/>
    </sheetView>
  </sheetViews>
  <sheetFormatPr defaultRowHeight="14.4" x14ac:dyDescent="0.3"/>
  <cols>
    <col min="1" max="1" width="6.77734375" bestFit="1" customWidth="1"/>
    <col min="2" max="2" width="10.33203125" bestFit="1" customWidth="1"/>
    <col min="3" max="6" width="8" bestFit="1" customWidth="1"/>
    <col min="7" max="7" width="10.77734375" bestFit="1" customWidth="1"/>
    <col min="8" max="8" width="8.109375" bestFit="1" customWidth="1"/>
    <col min="9" max="10" width="11" bestFit="1" customWidth="1"/>
    <col min="11" max="11" width="8" bestFit="1" customWidth="1"/>
  </cols>
  <sheetData>
    <row r="1" spans="1:11" x14ac:dyDescent="0.3">
      <c r="A1" t="s">
        <v>15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>
        <v>2018</v>
      </c>
      <c r="B2" t="s">
        <v>16</v>
      </c>
      <c r="C2">
        <v>2.66E-3</v>
      </c>
      <c r="D2">
        <v>1.2199999999999999E-3</v>
      </c>
      <c r="E2" s="2" t="s">
        <v>17</v>
      </c>
      <c r="F2">
        <v>4.7400000000000003E-3</v>
      </c>
      <c r="G2" s="2" t="s">
        <v>18</v>
      </c>
      <c r="H2" s="2" t="s">
        <v>19</v>
      </c>
      <c r="I2">
        <v>850.07240000000002</v>
      </c>
      <c r="J2">
        <v>641.85883999999999</v>
      </c>
      <c r="K2">
        <v>1.0145999999999999</v>
      </c>
    </row>
    <row r="3" spans="1:11" x14ac:dyDescent="0.3">
      <c r="A3">
        <v>2018</v>
      </c>
      <c r="B3" t="s">
        <v>20</v>
      </c>
      <c r="C3">
        <v>2.5069999999999999E-2</v>
      </c>
      <c r="D3">
        <v>5.2399999999999999E-3</v>
      </c>
      <c r="E3">
        <v>1.7000000000000001E-2</v>
      </c>
      <c r="F3">
        <v>3.5520000000000003E-2</v>
      </c>
      <c r="G3">
        <v>1.7000000000000001E-4</v>
      </c>
      <c r="H3">
        <v>1.3999999999999999E-4</v>
      </c>
      <c r="I3">
        <v>893.70483000000002</v>
      </c>
      <c r="J3">
        <v>1529.5182</v>
      </c>
      <c r="K3">
        <v>1.00204</v>
      </c>
    </row>
    <row r="4" spans="1:11" x14ac:dyDescent="0.3">
      <c r="A4">
        <v>2018</v>
      </c>
      <c r="B4" t="s">
        <v>21</v>
      </c>
      <c r="C4">
        <v>1.82E-3</v>
      </c>
      <c r="D4">
        <v>7.3999999999999999E-4</v>
      </c>
      <c r="E4">
        <v>3.4000000000000002E-4</v>
      </c>
      <c r="F4">
        <v>3.2100000000000002E-3</v>
      </c>
      <c r="G4" s="2" t="s">
        <v>22</v>
      </c>
      <c r="H4" s="2" t="s">
        <v>23</v>
      </c>
      <c r="I4">
        <v>1071.9811400000001</v>
      </c>
      <c r="J4">
        <v>1286.19642</v>
      </c>
      <c r="K4">
        <v>1.0010399999999999</v>
      </c>
    </row>
    <row r="5" spans="1:11" x14ac:dyDescent="0.3">
      <c r="A5">
        <v>2018</v>
      </c>
      <c r="B5" t="s">
        <v>24</v>
      </c>
      <c r="C5">
        <v>8.8699999999999994E-3</v>
      </c>
      <c r="D5">
        <v>3.4000000000000002E-4</v>
      </c>
      <c r="E5">
        <v>8.2299999999999995E-3</v>
      </c>
      <c r="F5">
        <v>9.4699999999999993E-3</v>
      </c>
      <c r="G5" s="2" t="s">
        <v>23</v>
      </c>
      <c r="H5" s="2" t="s">
        <v>23</v>
      </c>
      <c r="I5">
        <v>3750.0312399999998</v>
      </c>
      <c r="J5">
        <v>3066.3878</v>
      </c>
      <c r="K5">
        <v>1.0021500000000001</v>
      </c>
    </row>
    <row r="6" spans="1:11" x14ac:dyDescent="0.3">
      <c r="A6">
        <v>2019</v>
      </c>
      <c r="B6" t="s">
        <v>16</v>
      </c>
      <c r="C6">
        <v>3.3899999999999998E-3</v>
      </c>
      <c r="D6">
        <v>1.1100000000000001E-3</v>
      </c>
      <c r="E6">
        <v>1.5100000000000001E-3</v>
      </c>
      <c r="F6">
        <v>5.3899999999999998E-3</v>
      </c>
      <c r="G6" s="2" t="s">
        <v>19</v>
      </c>
      <c r="H6" s="2" t="s">
        <v>19</v>
      </c>
      <c r="I6">
        <v>1176.9022299999999</v>
      </c>
      <c r="J6">
        <v>1709.3782100000001</v>
      </c>
      <c r="K6">
        <v>1.0005500000000001</v>
      </c>
    </row>
    <row r="7" spans="1:11" x14ac:dyDescent="0.3">
      <c r="A7">
        <v>2019</v>
      </c>
      <c r="B7" t="s">
        <v>20</v>
      </c>
      <c r="C7">
        <v>2.4029999999999999E-2</v>
      </c>
      <c r="D7">
        <v>5.3499999999999997E-3</v>
      </c>
      <c r="E7">
        <v>1.473E-2</v>
      </c>
      <c r="F7">
        <v>3.347E-2</v>
      </c>
      <c r="G7">
        <v>1.8000000000000001E-4</v>
      </c>
      <c r="H7">
        <v>1.2999999999999999E-4</v>
      </c>
      <c r="I7">
        <v>867.53150000000005</v>
      </c>
      <c r="J7">
        <v>1459.4069300000001</v>
      </c>
      <c r="K7">
        <v>1.0012799999999999</v>
      </c>
    </row>
    <row r="8" spans="1:11" x14ac:dyDescent="0.3">
      <c r="A8">
        <v>2019</v>
      </c>
      <c r="B8" t="s">
        <v>21</v>
      </c>
      <c r="C8">
        <v>3.8700000000000002E-3</v>
      </c>
      <c r="D8">
        <v>7.6000000000000004E-4</v>
      </c>
      <c r="E8">
        <v>2.5500000000000002E-3</v>
      </c>
      <c r="F8">
        <v>5.2199999999999998E-3</v>
      </c>
      <c r="G8" s="2" t="s">
        <v>22</v>
      </c>
      <c r="H8" s="2" t="s">
        <v>22</v>
      </c>
      <c r="I8">
        <v>1454.75137</v>
      </c>
      <c r="J8">
        <v>1963.9665399999999</v>
      </c>
      <c r="K8">
        <v>1.0015700000000001</v>
      </c>
    </row>
    <row r="9" spans="1:11" x14ac:dyDescent="0.3">
      <c r="A9">
        <v>2019</v>
      </c>
      <c r="B9" t="s">
        <v>24</v>
      </c>
      <c r="C9">
        <v>6.8100000000000001E-3</v>
      </c>
      <c r="D9">
        <v>2.5000000000000001E-4</v>
      </c>
      <c r="E9">
        <v>6.3400000000000001E-3</v>
      </c>
      <c r="F9">
        <v>7.26E-3</v>
      </c>
      <c r="G9">
        <v>0</v>
      </c>
      <c r="H9">
        <v>0</v>
      </c>
      <c r="I9">
        <v>4863.3068000000003</v>
      </c>
      <c r="J9">
        <v>3083.4199800000001</v>
      </c>
      <c r="K9">
        <v>0.99968999999999997</v>
      </c>
    </row>
    <row r="10" spans="1:11" x14ac:dyDescent="0.3">
      <c r="A10">
        <v>2020</v>
      </c>
      <c r="B10" t="s">
        <v>16</v>
      </c>
      <c r="C10">
        <v>2.15E-3</v>
      </c>
      <c r="D10">
        <v>1.67E-3</v>
      </c>
      <c r="E10">
        <v>0</v>
      </c>
      <c r="F10">
        <v>5.1500000000000001E-3</v>
      </c>
      <c r="G10" s="2" t="s">
        <v>18</v>
      </c>
      <c r="H10" s="2" t="s">
        <v>19</v>
      </c>
      <c r="I10">
        <v>1462.85583</v>
      </c>
      <c r="J10">
        <v>1714.43706</v>
      </c>
      <c r="K10">
        <v>1.0014700000000001</v>
      </c>
    </row>
    <row r="11" spans="1:11" x14ac:dyDescent="0.3">
      <c r="A11">
        <v>2020</v>
      </c>
      <c r="B11" t="s">
        <v>20</v>
      </c>
      <c r="C11">
        <v>2.2540000000000001E-2</v>
      </c>
      <c r="D11">
        <v>5.7800000000000004E-3</v>
      </c>
      <c r="E11">
        <v>1.244E-2</v>
      </c>
      <c r="F11">
        <v>3.3360000000000001E-2</v>
      </c>
      <c r="G11">
        <v>2.0000000000000001E-4</v>
      </c>
      <c r="H11">
        <v>1.2999999999999999E-4</v>
      </c>
      <c r="I11">
        <v>774.81853999999998</v>
      </c>
      <c r="J11">
        <v>1375.36366</v>
      </c>
      <c r="K11">
        <v>1.0076799999999999</v>
      </c>
    </row>
    <row r="12" spans="1:11" x14ac:dyDescent="0.3">
      <c r="A12">
        <v>2020</v>
      </c>
      <c r="B12" t="s">
        <v>21</v>
      </c>
      <c r="C12">
        <v>1.491E-2</v>
      </c>
      <c r="D12">
        <v>2.1199999999999999E-3</v>
      </c>
      <c r="E12">
        <v>1.12E-2</v>
      </c>
      <c r="F12">
        <v>1.8960000000000001E-2</v>
      </c>
      <c r="G12" s="2" t="s">
        <v>25</v>
      </c>
      <c r="H12" s="2" t="s">
        <v>19</v>
      </c>
      <c r="I12">
        <v>1524.10797</v>
      </c>
      <c r="J12">
        <v>2174.6331300000002</v>
      </c>
      <c r="K12">
        <v>1.00217</v>
      </c>
    </row>
    <row r="13" spans="1:11" x14ac:dyDescent="0.3">
      <c r="A13">
        <v>2020</v>
      </c>
      <c r="B13" t="s">
        <v>24</v>
      </c>
      <c r="C13">
        <v>2.0230000000000001E-2</v>
      </c>
      <c r="D13">
        <v>8.0000000000000004E-4</v>
      </c>
      <c r="E13">
        <v>1.8759999999999999E-2</v>
      </c>
      <c r="F13">
        <v>2.1749999999999999E-2</v>
      </c>
      <c r="G13" s="2" t="s">
        <v>23</v>
      </c>
      <c r="H13" s="2" t="s">
        <v>23</v>
      </c>
      <c r="I13">
        <v>5277.9700499999999</v>
      </c>
      <c r="J13">
        <v>2982.8414400000001</v>
      </c>
      <c r="K13">
        <v>1.0001199999999999</v>
      </c>
    </row>
    <row r="14" spans="1:11" x14ac:dyDescent="0.3">
      <c r="A14">
        <v>2021</v>
      </c>
      <c r="B14" t="s">
        <v>16</v>
      </c>
      <c r="C14">
        <v>5.0000000000000001E-3</v>
      </c>
      <c r="D14">
        <v>2.48E-3</v>
      </c>
      <c r="E14" s="2" t="s">
        <v>25</v>
      </c>
      <c r="F14">
        <v>9.0500000000000008E-3</v>
      </c>
      <c r="G14" s="2" t="s">
        <v>17</v>
      </c>
      <c r="H14" s="2" t="s">
        <v>18</v>
      </c>
      <c r="I14">
        <v>1178.0524800000001</v>
      </c>
      <c r="J14">
        <v>1740.3698199999999</v>
      </c>
      <c r="K14">
        <v>1.0067900000000001</v>
      </c>
    </row>
    <row r="15" spans="1:11" x14ac:dyDescent="0.3">
      <c r="A15">
        <v>2021</v>
      </c>
      <c r="B15" t="s">
        <v>20</v>
      </c>
      <c r="C15">
        <v>2.2280000000000001E-2</v>
      </c>
      <c r="D15">
        <v>5.5100000000000001E-3</v>
      </c>
      <c r="E15">
        <v>1.337E-2</v>
      </c>
      <c r="F15">
        <v>3.2489999999999998E-2</v>
      </c>
      <c r="G15">
        <v>1.3999999999999999E-4</v>
      </c>
      <c r="H15">
        <v>1.3999999999999999E-4</v>
      </c>
      <c r="I15">
        <v>1590.2200499999999</v>
      </c>
      <c r="J15">
        <v>2263.8367800000001</v>
      </c>
      <c r="K15">
        <v>1.0027299999999999</v>
      </c>
    </row>
    <row r="16" spans="1:11" x14ac:dyDescent="0.3">
      <c r="A16">
        <v>2021</v>
      </c>
      <c r="B16" t="s">
        <v>21</v>
      </c>
      <c r="C16">
        <v>5.5399999999999998E-3</v>
      </c>
      <c r="D16">
        <v>1.75E-3</v>
      </c>
      <c r="E16">
        <v>2.3999999999999998E-3</v>
      </c>
      <c r="F16">
        <v>8.9200000000000008E-3</v>
      </c>
      <c r="G16" s="2" t="s">
        <v>25</v>
      </c>
      <c r="H16" s="2" t="s">
        <v>19</v>
      </c>
      <c r="I16">
        <v>1403.25676</v>
      </c>
      <c r="J16">
        <v>1440.75695</v>
      </c>
      <c r="K16">
        <v>1.00152</v>
      </c>
    </row>
    <row r="17" spans="1:11" x14ac:dyDescent="0.3">
      <c r="A17">
        <v>2021</v>
      </c>
      <c r="B17" t="s">
        <v>24</v>
      </c>
      <c r="C17">
        <v>2.334E-2</v>
      </c>
      <c r="D17">
        <v>8.4999999999999995E-4</v>
      </c>
      <c r="E17">
        <v>2.1739999999999999E-2</v>
      </c>
      <c r="F17">
        <v>2.4930000000000001E-2</v>
      </c>
      <c r="G17" s="2" t="s">
        <v>23</v>
      </c>
      <c r="H17" s="2" t="s">
        <v>23</v>
      </c>
      <c r="I17">
        <v>5426.9252200000001</v>
      </c>
      <c r="J17">
        <v>2956.8922699999998</v>
      </c>
      <c r="K17">
        <v>1.0006699999999999</v>
      </c>
    </row>
    <row r="18" spans="1:11" x14ac:dyDescent="0.3">
      <c r="A18">
        <v>2022</v>
      </c>
      <c r="B18" t="s">
        <v>16</v>
      </c>
      <c r="C18">
        <v>2.98E-3</v>
      </c>
      <c r="D18">
        <v>1.75E-3</v>
      </c>
      <c r="E18">
        <v>0</v>
      </c>
      <c r="F18">
        <v>5.7800000000000004E-3</v>
      </c>
      <c r="G18" s="2" t="s">
        <v>25</v>
      </c>
      <c r="H18" s="2" t="s">
        <v>18</v>
      </c>
      <c r="I18">
        <v>1060.65346</v>
      </c>
      <c r="J18">
        <v>1398.68622</v>
      </c>
      <c r="K18">
        <v>1.00091</v>
      </c>
    </row>
    <row r="19" spans="1:11" x14ac:dyDescent="0.3">
      <c r="A19">
        <v>2022</v>
      </c>
      <c r="B19" t="s">
        <v>20</v>
      </c>
      <c r="C19">
        <v>2.172E-2</v>
      </c>
      <c r="D19">
        <v>5.3499999999999997E-3</v>
      </c>
      <c r="E19">
        <v>1.247E-2</v>
      </c>
      <c r="F19">
        <v>3.1960000000000002E-2</v>
      </c>
      <c r="G19">
        <v>1.8000000000000001E-4</v>
      </c>
      <c r="H19">
        <v>1.1E-4</v>
      </c>
      <c r="I19">
        <v>886.02824999999996</v>
      </c>
      <c r="J19">
        <v>1485.1906200000001</v>
      </c>
      <c r="K19">
        <v>1.00484</v>
      </c>
    </row>
    <row r="20" spans="1:11" x14ac:dyDescent="0.3">
      <c r="A20">
        <v>2022</v>
      </c>
      <c r="B20" t="s">
        <v>21</v>
      </c>
      <c r="C20">
        <v>1.268E-2</v>
      </c>
      <c r="D20">
        <v>1.8E-3</v>
      </c>
      <c r="E20">
        <v>9.3500000000000007E-3</v>
      </c>
      <c r="F20">
        <v>1.5970000000000002E-2</v>
      </c>
      <c r="G20" s="2" t="s">
        <v>25</v>
      </c>
      <c r="H20" s="2" t="s">
        <v>19</v>
      </c>
      <c r="I20">
        <v>1474.82773</v>
      </c>
      <c r="J20">
        <v>2527.5096600000002</v>
      </c>
      <c r="K20">
        <v>1.00237</v>
      </c>
    </row>
    <row r="21" spans="1:11" x14ac:dyDescent="0.3">
      <c r="A21">
        <v>2022</v>
      </c>
      <c r="B21" t="s">
        <v>24</v>
      </c>
      <c r="C21">
        <v>1.7069999999999998E-2</v>
      </c>
      <c r="D21">
        <v>6.3000000000000003E-4</v>
      </c>
      <c r="E21">
        <v>1.584E-2</v>
      </c>
      <c r="F21">
        <v>1.821E-2</v>
      </c>
      <c r="G21" s="2" t="s">
        <v>23</v>
      </c>
      <c r="H21" s="2" t="s">
        <v>23</v>
      </c>
      <c r="I21">
        <v>6606.4584400000003</v>
      </c>
      <c r="J21">
        <v>3058.4198799999999</v>
      </c>
      <c r="K21">
        <v>1.00078</v>
      </c>
    </row>
    <row r="22" spans="1:11" x14ac:dyDescent="0.3">
      <c r="A22">
        <v>2023</v>
      </c>
      <c r="B22" t="s">
        <v>16</v>
      </c>
      <c r="C22">
        <v>6.4999999999999997E-3</v>
      </c>
      <c r="D22">
        <v>2.97E-3</v>
      </c>
      <c r="E22">
        <v>5.6999999999999998E-4</v>
      </c>
      <c r="F22">
        <v>1.179E-2</v>
      </c>
      <c r="G22" s="2" t="s">
        <v>26</v>
      </c>
      <c r="H22" s="2" t="s">
        <v>25</v>
      </c>
      <c r="I22">
        <v>997.6961</v>
      </c>
      <c r="J22">
        <v>1311.1628499999999</v>
      </c>
      <c r="K22">
        <v>1.0025900000000001</v>
      </c>
    </row>
    <row r="23" spans="1:11" x14ac:dyDescent="0.3">
      <c r="A23">
        <v>2023</v>
      </c>
      <c r="B23" t="s">
        <v>20</v>
      </c>
      <c r="C23">
        <v>2.0709999999999999E-2</v>
      </c>
      <c r="D23">
        <v>5.8100000000000001E-3</v>
      </c>
      <c r="E23">
        <v>1.0240000000000001E-2</v>
      </c>
      <c r="F23">
        <v>3.1419999999999997E-2</v>
      </c>
      <c r="G23">
        <v>1.6000000000000001E-4</v>
      </c>
      <c r="H23">
        <v>1.2E-4</v>
      </c>
      <c r="I23">
        <v>1210.4292399999999</v>
      </c>
      <c r="J23">
        <v>1435.23117</v>
      </c>
      <c r="K23">
        <v>1.0007299999999999</v>
      </c>
    </row>
    <row r="24" spans="1:11" x14ac:dyDescent="0.3">
      <c r="A24">
        <v>2023</v>
      </c>
      <c r="B24" t="s">
        <v>21</v>
      </c>
      <c r="C24">
        <v>1.4919999999999999E-2</v>
      </c>
      <c r="D24">
        <v>2.0799999999999998E-3</v>
      </c>
      <c r="E24">
        <v>1.107E-2</v>
      </c>
      <c r="F24">
        <v>1.8749999999999999E-2</v>
      </c>
      <c r="G24" s="2" t="s">
        <v>25</v>
      </c>
      <c r="H24" s="2" t="s">
        <v>19</v>
      </c>
      <c r="I24">
        <v>1790.90725</v>
      </c>
      <c r="J24">
        <v>2790.13996</v>
      </c>
      <c r="K24">
        <v>1.0019800000000001</v>
      </c>
    </row>
    <row r="25" spans="1:11" x14ac:dyDescent="0.3">
      <c r="A25">
        <v>2023</v>
      </c>
      <c r="B25" t="s">
        <v>24</v>
      </c>
      <c r="C25">
        <v>2.879E-2</v>
      </c>
      <c r="D25">
        <v>1.0200000000000001E-3</v>
      </c>
      <c r="E25">
        <v>2.6849999999999999E-2</v>
      </c>
      <c r="F25">
        <v>3.0630000000000001E-2</v>
      </c>
      <c r="G25" s="2" t="s">
        <v>22</v>
      </c>
      <c r="H25" s="2" t="s">
        <v>22</v>
      </c>
      <c r="I25">
        <v>4189.3855599999997</v>
      </c>
      <c r="J25">
        <v>2929.85574</v>
      </c>
      <c r="K25">
        <v>1.0008300000000001</v>
      </c>
    </row>
    <row r="26" spans="1:11" x14ac:dyDescent="0.3">
      <c r="A26">
        <v>2024</v>
      </c>
      <c r="B26" t="s">
        <v>16</v>
      </c>
      <c r="C26">
        <v>4.0000000000000001E-3</v>
      </c>
      <c r="D26">
        <v>1.4599999999999999E-3</v>
      </c>
      <c r="E26">
        <v>1.1999999999999999E-3</v>
      </c>
      <c r="F26">
        <v>6.7000000000000002E-3</v>
      </c>
      <c r="G26" s="2" t="s">
        <v>18</v>
      </c>
      <c r="H26" s="2" t="s">
        <v>19</v>
      </c>
      <c r="I26">
        <v>1231.1397400000001</v>
      </c>
      <c r="J26">
        <v>1663.76331</v>
      </c>
      <c r="K26">
        <v>1.0019499999999999</v>
      </c>
    </row>
    <row r="27" spans="1:11" x14ac:dyDescent="0.3">
      <c r="A27">
        <v>2024</v>
      </c>
      <c r="B27" t="s">
        <v>20</v>
      </c>
      <c r="C27">
        <v>1.6799999999999999E-2</v>
      </c>
      <c r="D27">
        <v>4.45E-3</v>
      </c>
      <c r="E27">
        <v>9.6399999999999993E-3</v>
      </c>
      <c r="F27">
        <v>2.5440000000000001E-2</v>
      </c>
      <c r="G27">
        <v>1.3999999999999999E-4</v>
      </c>
      <c r="H27">
        <v>1.2E-4</v>
      </c>
      <c r="I27">
        <v>1047.92794</v>
      </c>
      <c r="J27">
        <v>1709.7516900000001</v>
      </c>
      <c r="K27">
        <v>1.00312</v>
      </c>
    </row>
    <row r="28" spans="1:11" x14ac:dyDescent="0.3">
      <c r="A28">
        <v>2024</v>
      </c>
      <c r="B28" t="s">
        <v>21</v>
      </c>
      <c r="C28">
        <v>7.7400000000000004E-3</v>
      </c>
      <c r="D28">
        <v>1.2800000000000001E-3</v>
      </c>
      <c r="E28">
        <v>5.4999999999999997E-3</v>
      </c>
      <c r="F28">
        <v>1.0279999999999999E-2</v>
      </c>
      <c r="G28" s="2" t="s">
        <v>19</v>
      </c>
      <c r="H28" s="2" t="s">
        <v>22</v>
      </c>
      <c r="I28">
        <v>1396.07095</v>
      </c>
      <c r="J28">
        <v>2564.0019000000002</v>
      </c>
      <c r="K28">
        <v>1.00386</v>
      </c>
    </row>
    <row r="29" spans="1:11" x14ac:dyDescent="0.3">
      <c r="A29">
        <v>2024</v>
      </c>
      <c r="B29" t="s">
        <v>24</v>
      </c>
      <c r="C29">
        <v>1.3469999999999999E-2</v>
      </c>
      <c r="D29">
        <v>4.6000000000000001E-4</v>
      </c>
      <c r="E29">
        <v>1.2619999999999999E-2</v>
      </c>
      <c r="F29">
        <v>1.436E-2</v>
      </c>
      <c r="G29" s="2" t="s">
        <v>23</v>
      </c>
      <c r="H29" s="2" t="s">
        <v>23</v>
      </c>
      <c r="I29">
        <v>5711.99244</v>
      </c>
      <c r="J29">
        <v>2995.8706499999998</v>
      </c>
      <c r="K29">
        <v>1.0000100000000001</v>
      </c>
    </row>
    <row r="30" spans="1:11" x14ac:dyDescent="0.3">
      <c r="A30">
        <v>2025</v>
      </c>
      <c r="B30" t="s">
        <v>16</v>
      </c>
      <c r="C30">
        <v>4.8999999999999998E-3</v>
      </c>
      <c r="D30">
        <v>1.3699999999999999E-3</v>
      </c>
      <c r="E30">
        <v>2.6900000000000001E-3</v>
      </c>
      <c r="F30">
        <v>7.2700000000000004E-3</v>
      </c>
      <c r="G30" s="2" t="s">
        <v>25</v>
      </c>
      <c r="H30" s="2" t="s">
        <v>25</v>
      </c>
      <c r="I30">
        <v>991.88441</v>
      </c>
      <c r="J30">
        <v>1204.16976</v>
      </c>
      <c r="K30">
        <v>1.0079199999999999</v>
      </c>
    </row>
    <row r="31" spans="1:11" x14ac:dyDescent="0.3">
      <c r="A31">
        <v>2025</v>
      </c>
      <c r="B31" t="s">
        <v>20</v>
      </c>
      <c r="C31">
        <v>1.3169999999999999E-2</v>
      </c>
      <c r="D31">
        <v>3.7100000000000002E-3</v>
      </c>
      <c r="E31">
        <v>7.0299999999999998E-3</v>
      </c>
      <c r="F31">
        <v>2.0160000000000001E-2</v>
      </c>
      <c r="G31">
        <v>1.2E-4</v>
      </c>
      <c r="H31">
        <v>1E-4</v>
      </c>
      <c r="I31">
        <v>927.59114</v>
      </c>
      <c r="J31">
        <v>1410.44453</v>
      </c>
      <c r="K31">
        <v>1.0019400000000001</v>
      </c>
    </row>
    <row r="32" spans="1:11" x14ac:dyDescent="0.3">
      <c r="A32">
        <v>2025</v>
      </c>
      <c r="B32" t="s">
        <v>21</v>
      </c>
      <c r="C32">
        <v>6.0600000000000003E-3</v>
      </c>
      <c r="D32">
        <v>1.01E-3</v>
      </c>
      <c r="E32">
        <v>4.2100000000000002E-3</v>
      </c>
      <c r="F32">
        <v>7.92E-3</v>
      </c>
      <c r="G32" s="2" t="s">
        <v>19</v>
      </c>
      <c r="H32" s="2" t="s">
        <v>22</v>
      </c>
      <c r="I32">
        <v>1040.01243</v>
      </c>
      <c r="J32">
        <v>1615.52601</v>
      </c>
      <c r="K32">
        <v>1.0012000000000001</v>
      </c>
    </row>
    <row r="33" spans="1:11" x14ac:dyDescent="0.3">
      <c r="A33">
        <v>2025</v>
      </c>
      <c r="B33" t="s">
        <v>24</v>
      </c>
      <c r="C33">
        <v>7.3200000000000001E-3</v>
      </c>
      <c r="D33">
        <v>2.5000000000000001E-4</v>
      </c>
      <c r="E33">
        <v>6.8700000000000002E-3</v>
      </c>
      <c r="F33">
        <v>7.7999999999999996E-3</v>
      </c>
      <c r="G33">
        <v>0</v>
      </c>
      <c r="H33">
        <v>0</v>
      </c>
      <c r="I33">
        <v>4124.8678399999999</v>
      </c>
      <c r="J33">
        <v>2997.1702</v>
      </c>
      <c r="K33">
        <v>0.99926999999999999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96C1-DD0F-4E54-BA4F-D1EBDC6EBFA9}">
  <dimension ref="A1:E13"/>
  <sheetViews>
    <sheetView workbookViewId="0">
      <selection activeCell="A28" sqref="A28"/>
    </sheetView>
  </sheetViews>
  <sheetFormatPr defaultRowHeight="14.4" x14ac:dyDescent="0.3"/>
  <cols>
    <col min="1" max="1" width="19.44140625" bestFit="1" customWidth="1"/>
    <col min="2" max="2" width="9" bestFit="1" customWidth="1"/>
    <col min="3" max="5" width="12" bestFit="1" customWidth="1"/>
  </cols>
  <sheetData>
    <row r="1" spans="1:5" x14ac:dyDescent="0.3">
      <c r="A1" t="s">
        <v>0</v>
      </c>
    </row>
    <row r="2" spans="1:5" x14ac:dyDescent="0.3">
      <c r="A2" t="s">
        <v>1</v>
      </c>
      <c r="B2">
        <v>7.7200000000000003E-3</v>
      </c>
      <c r="C2">
        <f>(B2^2)</f>
        <v>5.9598400000000002E-5</v>
      </c>
      <c r="D2">
        <f>C2/C6</f>
        <v>5.7386505990406948E-2</v>
      </c>
      <c r="E2">
        <f>D2*100</f>
        <v>5.7386505990406951</v>
      </c>
    </row>
    <row r="3" spans="1:5" x14ac:dyDescent="0.3">
      <c r="A3" t="s">
        <v>2</v>
      </c>
      <c r="B3">
        <v>2.3429999999999999E-2</v>
      </c>
      <c r="C3">
        <f t="shared" ref="C3:C5" si="0">(B3^2)</f>
        <v>5.4896489999999997E-4</v>
      </c>
      <c r="D3">
        <f>C3/C6</f>
        <v>0.52859099442893009</v>
      </c>
      <c r="E3">
        <f t="shared" ref="E3:E5" si="1">D3*100</f>
        <v>52.859099442893012</v>
      </c>
    </row>
    <row r="4" spans="1:5" x14ac:dyDescent="0.3">
      <c r="A4" t="s">
        <v>3</v>
      </c>
      <c r="B4">
        <v>1.0619999999999999E-2</v>
      </c>
      <c r="C4">
        <f t="shared" si="0"/>
        <v>1.1278439999999998E-4</v>
      </c>
      <c r="D4">
        <f>C4/C6</f>
        <v>0.10859859738221919</v>
      </c>
      <c r="E4">
        <f t="shared" si="1"/>
        <v>10.859859738221919</v>
      </c>
    </row>
    <row r="5" spans="1:5" x14ac:dyDescent="0.3">
      <c r="A5" t="s">
        <v>4</v>
      </c>
      <c r="B5">
        <v>1.7809999999999999E-2</v>
      </c>
      <c r="C5">
        <f t="shared" si="0"/>
        <v>3.1719609999999998E-4</v>
      </c>
      <c r="D5">
        <f>C5/C6</f>
        <v>0.30542390219844356</v>
      </c>
      <c r="E5">
        <f t="shared" si="1"/>
        <v>30.542390219844357</v>
      </c>
    </row>
    <row r="6" spans="1:5" x14ac:dyDescent="0.3">
      <c r="C6">
        <f>SUM(C2+C3+C4+C5)</f>
        <v>1.0385438000000001E-3</v>
      </c>
      <c r="E6">
        <f>SUM(E2+E3+E4+E5)</f>
        <v>99.999999999999972</v>
      </c>
    </row>
    <row r="8" spans="1:5" x14ac:dyDescent="0.3">
      <c r="A8" t="s">
        <v>5</v>
      </c>
    </row>
    <row r="9" spans="1:5" x14ac:dyDescent="0.3">
      <c r="A9" t="s">
        <v>1</v>
      </c>
      <c r="B9">
        <v>6.7500000000000004E-4</v>
      </c>
      <c r="C9">
        <f>(B9^2)</f>
        <v>4.5562500000000003E-7</v>
      </c>
      <c r="D9">
        <f>C9/C13</f>
        <v>3.272682314667193E-4</v>
      </c>
      <c r="E9">
        <f>D9*100</f>
        <v>3.2726823146671927E-2</v>
      </c>
    </row>
    <row r="10" spans="1:5" x14ac:dyDescent="0.3">
      <c r="A10" t="s">
        <v>2</v>
      </c>
      <c r="B10">
        <v>2.8629999999999999E-2</v>
      </c>
      <c r="C10">
        <f t="shared" ref="C10:C12" si="2">(B10^2)</f>
        <v>8.1967689999999996E-4</v>
      </c>
      <c r="D10">
        <f>C10/C13</f>
        <v>0.58876095349711477</v>
      </c>
      <c r="E10">
        <f t="shared" ref="E10:E12" si="3">D10*100</f>
        <v>58.876095349711477</v>
      </c>
    </row>
    <row r="11" spans="1:5" x14ac:dyDescent="0.3">
      <c r="A11" t="s">
        <v>3</v>
      </c>
      <c r="B11">
        <v>1.8710000000000001E-2</v>
      </c>
      <c r="C11">
        <f t="shared" si="2"/>
        <v>3.5006410000000001E-4</v>
      </c>
      <c r="D11">
        <f>C11/C13</f>
        <v>0.25144550651739644</v>
      </c>
      <c r="E11">
        <f t="shared" si="3"/>
        <v>25.144550651739646</v>
      </c>
    </row>
    <row r="12" spans="1:5" x14ac:dyDescent="0.3">
      <c r="A12" t="s">
        <v>4</v>
      </c>
      <c r="B12">
        <v>1.49E-2</v>
      </c>
      <c r="C12">
        <f t="shared" si="2"/>
        <v>2.2201E-4</v>
      </c>
      <c r="D12">
        <f>C12/C13</f>
        <v>0.15946627175402214</v>
      </c>
      <c r="E12">
        <f t="shared" si="3"/>
        <v>15.946627175402215</v>
      </c>
    </row>
    <row r="13" spans="1:5" x14ac:dyDescent="0.3">
      <c r="C13">
        <f xml:space="preserve"> SUM(C9+C10+C11+C12)</f>
        <v>1.3922066249999999E-3</v>
      </c>
      <c r="E13">
        <f>SUM(E9+E10+E11+E12)</f>
        <v>100.00000000000001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41B1-E499-4C27-9CE2-A79FED1055CF}">
  <dimension ref="A1:E13"/>
  <sheetViews>
    <sheetView tabSelected="1" workbookViewId="0">
      <selection activeCell="G11" sqref="G11"/>
    </sheetView>
  </sheetViews>
  <sheetFormatPr defaultRowHeight="14.4" x14ac:dyDescent="0.3"/>
  <cols>
    <col min="1" max="1" width="19.44140625" style="1" bestFit="1" customWidth="1"/>
    <col min="3" max="3" width="11" bestFit="1" customWidth="1"/>
  </cols>
  <sheetData>
    <row r="1" spans="1:5" x14ac:dyDescent="0.3">
      <c r="A1" s="1">
        <v>2018</v>
      </c>
    </row>
    <row r="2" spans="1:5" x14ac:dyDescent="0.3">
      <c r="A2" s="1" t="s">
        <v>1</v>
      </c>
      <c r="B2">
        <v>2.66E-3</v>
      </c>
      <c r="C2">
        <f>B2^2</f>
        <v>7.0756000000000005E-6</v>
      </c>
      <c r="D2">
        <f>C2/C6</f>
        <v>9.8605041628006089E-3</v>
      </c>
      <c r="E2">
        <f>D2*100</f>
        <v>0.98605041628006085</v>
      </c>
    </row>
    <row r="3" spans="1:5" x14ac:dyDescent="0.3">
      <c r="A3" s="1" t="s">
        <v>2</v>
      </c>
      <c r="B3">
        <v>2.5069999999999999E-2</v>
      </c>
      <c r="C3">
        <f t="shared" ref="C3:C5" si="0">B3^2</f>
        <v>6.2850489999999998E-4</v>
      </c>
      <c r="D3">
        <f>C3/C6</f>
        <v>0.87587980988051617</v>
      </c>
      <c r="E3">
        <f t="shared" ref="E3:E5" si="1">D3*100</f>
        <v>87.587980988051612</v>
      </c>
    </row>
    <row r="4" spans="1:5" x14ac:dyDescent="0.3">
      <c r="A4" s="1" t="s">
        <v>3</v>
      </c>
      <c r="B4">
        <v>1.82E-3</v>
      </c>
      <c r="C4">
        <f t="shared" si="0"/>
        <v>3.3123999999999998E-6</v>
      </c>
      <c r="D4">
        <f>C4/C6</f>
        <v>4.6161362978207835E-3</v>
      </c>
      <c r="E4">
        <f t="shared" si="1"/>
        <v>0.46161362978207837</v>
      </c>
    </row>
    <row r="5" spans="1:5" x14ac:dyDescent="0.3">
      <c r="A5" s="1" t="s">
        <v>4</v>
      </c>
      <c r="B5">
        <v>8.8699999999999994E-3</v>
      </c>
      <c r="C5">
        <f t="shared" si="0"/>
        <v>7.8676899999999985E-5</v>
      </c>
      <c r="D5">
        <f>C5/C6</f>
        <v>0.10964354965886243</v>
      </c>
      <c r="E5">
        <f t="shared" si="1"/>
        <v>10.964354965886242</v>
      </c>
    </row>
    <row r="6" spans="1:5" x14ac:dyDescent="0.3">
      <c r="C6">
        <f>SUM(C2+C3+C4+C5)</f>
        <v>7.1756979999999999E-4</v>
      </c>
      <c r="E6">
        <f>SUM(E2+E3+E4+E5)</f>
        <v>100</v>
      </c>
    </row>
    <row r="8" spans="1:5" x14ac:dyDescent="0.3">
      <c r="A8" s="1">
        <v>2025</v>
      </c>
    </row>
    <row r="9" spans="1:5" x14ac:dyDescent="0.3">
      <c r="A9" s="1" t="s">
        <v>1</v>
      </c>
      <c r="B9">
        <v>4.8999999999999998E-3</v>
      </c>
      <c r="C9">
        <f>B9^2</f>
        <v>2.4009999999999999E-5</v>
      </c>
      <c r="D9">
        <f>C9/C13</f>
        <v>8.3436166120329475E-2</v>
      </c>
      <c r="E9">
        <f>D9*100</f>
        <v>8.3436166120329478</v>
      </c>
    </row>
    <row r="10" spans="1:5" x14ac:dyDescent="0.3">
      <c r="A10" s="1" t="s">
        <v>2</v>
      </c>
      <c r="B10">
        <v>1.3169999999999999E-2</v>
      </c>
      <c r="C10">
        <f t="shared" ref="C10:C12" si="2">B10^2</f>
        <v>1.7344889999999999E-4</v>
      </c>
      <c r="D10">
        <f>C10/C13</f>
        <v>0.60274515759218716</v>
      </c>
      <c r="E10">
        <f t="shared" ref="E10:E12" si="3">D10*100</f>
        <v>60.274515759218716</v>
      </c>
    </row>
    <row r="11" spans="1:5" x14ac:dyDescent="0.3">
      <c r="A11" s="1" t="s">
        <v>3</v>
      </c>
      <c r="B11">
        <v>6.0600000000000003E-3</v>
      </c>
      <c r="C11">
        <f t="shared" si="2"/>
        <v>3.6723600000000002E-5</v>
      </c>
      <c r="D11">
        <f>C11/C13</f>
        <v>0.12761667597403298</v>
      </c>
      <c r="E11">
        <f t="shared" si="3"/>
        <v>12.761667597403298</v>
      </c>
    </row>
    <row r="12" spans="1:5" x14ac:dyDescent="0.3">
      <c r="A12" s="1" t="s">
        <v>4</v>
      </c>
      <c r="B12">
        <v>7.3200000000000001E-3</v>
      </c>
      <c r="C12">
        <f t="shared" si="2"/>
        <v>5.3582400000000004E-5</v>
      </c>
      <c r="D12">
        <f>C12/C13</f>
        <v>0.18620200031345033</v>
      </c>
      <c r="E12">
        <f t="shared" si="3"/>
        <v>18.620200031345032</v>
      </c>
    </row>
    <row r="13" spans="1:5" x14ac:dyDescent="0.3">
      <c r="C13">
        <f>SUM(C9+C10+C11+C12)</f>
        <v>2.8776490000000001E-4</v>
      </c>
      <c r="E13">
        <f>SUM(E9+E10+E11+E12)</f>
        <v>100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all_seasons</vt:lpstr>
      <vt:lpstr>main_single_seasons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Tomblin</dc:creator>
  <cp:lastModifiedBy>Mary Tomblin</cp:lastModifiedBy>
  <cp:lastPrinted>2025-12-31T02:08:19Z</cp:lastPrinted>
  <dcterms:created xsi:type="dcterms:W3CDTF">2025-12-30T00:47:53Z</dcterms:created>
  <dcterms:modified xsi:type="dcterms:W3CDTF">2026-01-04T23:57:58Z</dcterms:modified>
</cp:coreProperties>
</file>